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forecast_results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<sst xmlns="http://schemas.openxmlformats.org/spreadsheetml/2006/main" count="4" uniqueCount="4">
  <si>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Period</t>
  </si>
  <si>
    <t>SARIMA_Forecast</t>
  </si>
  <si>
    <t>Prophet_Forecast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</si>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</sst>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forecast_results2024!$A$2</c:f>
              <c:strCache>
                <c:ptCount val="1"/>
                <c:pt idx="0">
                  <c:v>Period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forecast_results2024!$A$3:$A$15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forecast_results2024!$B$2</c:f>
              <c:strCache>
                <c:ptCount val="1"/>
                <c:pt idx="0">
                  <c:v>SARIMA_Forecast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forecast_results2024!$B$3:$B$15</c:f>
              <c:numCache>
                <c:formatCode>_ * #,##0_ ;_ * \-#,##0_ ;_ * "-"??_ ;_ @_ </c:formatCode>
                <c:ptCount val="13"/>
                <c:pt idx="0">
                  <c:v>382246.346218488</c:v>
                </c:pt>
                <c:pt idx="1">
                  <c:v>598958.346218488</c:v>
                </c:pt>
                <c:pt idx="2">
                  <c:v>452624.346218488</c:v>
                </c:pt>
                <c:pt idx="3">
                  <c:v>533907.346218488</c:v>
                </c:pt>
                <c:pt idx="4">
                  <c:v>339629.346218488</c:v>
                </c:pt>
                <c:pt idx="5">
                  <c:v>213799.346218488</c:v>
                </c:pt>
                <c:pt idx="6">
                  <c:v>279828.346218488</c:v>
                </c:pt>
                <c:pt idx="7">
                  <c:v>401863.346218488</c:v>
                </c:pt>
                <c:pt idx="8">
                  <c:v>448134.346218488</c:v>
                </c:pt>
                <c:pt idx="9">
                  <c:v>601511.346218488</c:v>
                </c:pt>
                <c:pt idx="10">
                  <c:v>446696.346218488</c:v>
                </c:pt>
                <c:pt idx="11">
                  <c:v>487187.346218488</c:v>
                </c:pt>
                <c:pt idx="12">
                  <c:v>354169.346218488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forecast_results2024!$C$2</c:f>
              <c:strCache>
                <c:ptCount val="1"/>
                <c:pt idx="0">
                  <c:v>Prophet_Forecast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forecast_results2024!$C$3:$C$15</c:f>
              <c:numCache>
                <c:formatCode>_ * #,##0_ ;_ * \-#,##0_ ;_ * "-"??_ ;_ @_ </c:formatCode>
                <c:ptCount val="13"/>
                <c:pt idx="0">
                  <c:v>440112.463686945</c:v>
                </c:pt>
                <c:pt idx="1">
                  <c:v>514929.202067577</c:v>
                </c:pt>
                <c:pt idx="2">
                  <c:v>403724.368264733</c:v>
                </c:pt>
                <c:pt idx="3">
                  <c:v>371446.34516623</c:v>
                </c:pt>
                <c:pt idx="4">
                  <c:v>157043.584898545</c:v>
                </c:pt>
                <c:pt idx="5">
                  <c:v>189473.430861823</c:v>
                </c:pt>
                <c:pt idx="6">
                  <c:v>250155.570802382</c:v>
                </c:pt>
                <c:pt idx="7">
                  <c:v>287581.909792275</c:v>
                </c:pt>
                <c:pt idx="8">
                  <c:v>569745.064291464</c:v>
                </c:pt>
                <c:pt idx="9">
                  <c:v>633824.986556933</c:v>
                </c:pt>
                <c:pt idx="10">
                  <c:v>433415.506922117</c:v>
                </c:pt>
                <c:pt idx="11">
                  <c:v>379583.138771276</c:v>
                </c:pt>
                <c:pt idx="12">
                  <c:v>264247.901317912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forecast_results2024!$D$2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forecast_results2024!$D$3:$D$15</c:f>
              <c:numCache>
                <c:formatCode>_ * #,##0_ ;_ * \-#,##0_ ;_ * "-"??_ ;_ @_ </c:formatCode>
                <c:ptCount val="13"/>
                <c:pt idx="0">
                  <c:v>236475</c:v>
                </c:pt>
                <c:pt idx="1">
                  <c:v>283397</c:v>
                </c:pt>
                <c:pt idx="2">
                  <c:v>717219</c:v>
                </c:pt>
                <c:pt idx="3">
                  <c:v>640494</c:v>
                </c:pt>
                <c:pt idx="4">
                  <c:v>1038901</c:v>
                </c:pt>
                <c:pt idx="5">
                  <c:v>505230</c:v>
                </c:pt>
                <c:pt idx="6">
                  <c:v>535445</c:v>
                </c:pt>
                <c:pt idx="7">
                  <c:v>496268</c:v>
                </c:pt>
                <c:pt idx="8">
                  <c:v>190363</c:v>
                </c:pt>
                <c:pt idx="9">
                  <c:v>188715</c:v>
                </c:pt>
                <c:pt idx="10">
                  <c:v>187478</c:v>
                </c:pt>
                <c:pt idx="11">
                  <c:v>297289</c:v>
                </c:pt>
                <c:pt idx="12">
                  <c:v>220478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3217425"/>
        <c:axId val="182840426"/>
      </c:lineChart>
      <c:catAx>
        <c:axId val="7432174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840426"/>
        <c:crosses val="autoZero"/>
        <c:auto val="1"/>
        <c:lblAlgn val="ctr"/>
        <c:lblOffset val="100"/>
        <c:noMultiLvlLbl val="0"/>
      </c:catAx>
      <c:valAx>
        <c:axId val="1828404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32174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190500</xdr:colOff>
      <xdr:row>1</xdr:row>
      <xdr:rowOff>51435</xdr:rowOff>
    </xdr:from>
    <xdr:to>
      <xdr:col>12</xdr:col>
      <xdr:colOff>584200</xdr:colOff>
      <xdr:row>25</xdr:row>
      <xdr:rowOff>0</xdr:rowOff>
    </xdr:to>
    <xdr:graphicFrame>
      <xdr:nvGraphicFramePr>
        <xdr:cNvPr id="2" name="图表 1"/>
        <xdr:cNvGraphicFramePr/>
      </xdr:nvGraphicFramePr>
      <xdr:xfrm>
        <a:off x="4813300" y="229235"/>
        <a:ext cx="5194300" cy="4215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zoomScaleSheetLayoutView="60" workbookViewId="0">
      <selection activeCell="D1" sqref="D1"/>
    </sheetView>
  </sheetViews>
  <sheetFormatPr defaultColWidth="9.81818181818182" defaultRowHeight="14" outlineLevelCol="3"/>
  <cols>
    <col min="2" max="2" width="16.2727272727273"/>
    <col min="3" max="3" width="14"/>
    <col min="4" max="4" width="16.2727272727273"/>
  </cols>
  <sheetData>
    <row r="1" spans="2:4">
      <c r="B1" s="1">
        <f>SUM(B3:B30)</f>
        <v>5540555.50084034</v>
      </c>
      <c r="C1" s="1">
        <f>SUM(C3:C30)</f>
        <v>4895283.47340021</v>
      </c>
      <c r="D1" s="1">
        <f>SUM(D3:D30)</f>
        <v>5537752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>
        <v>1</v>
      </c>
      <c r="B3" s="1">
        <v>382246.346218488</v>
      </c>
      <c r="C3" s="1">
        <v>440112.463686945</v>
      </c>
      <c r="D3" s="1">
        <v>236475</v>
      </c>
    </row>
    <row r="4" spans="1:4">
      <c r="A4">
        <v>2</v>
      </c>
      <c r="B4" s="1">
        <v>598958.346218488</v>
      </c>
      <c r="C4" s="1">
        <v>514929.202067577</v>
      </c>
      <c r="D4" s="1">
        <v>283397</v>
      </c>
    </row>
    <row r="5" spans="1:4">
      <c r="A5">
        <v>3</v>
      </c>
      <c r="B5" s="1">
        <v>452624.346218488</v>
      </c>
      <c r="C5" s="1">
        <v>403724.368264733</v>
      </c>
      <c r="D5" s="1">
        <v>717219</v>
      </c>
    </row>
    <row r="6" spans="1:4">
      <c r="A6">
        <v>4</v>
      </c>
      <c r="B6" s="1">
        <v>533907.346218488</v>
      </c>
      <c r="C6" s="1">
        <v>371446.34516623</v>
      </c>
      <c r="D6" s="1">
        <v>640494</v>
      </c>
    </row>
    <row r="7" spans="1:4">
      <c r="A7">
        <v>5</v>
      </c>
      <c r="B7" s="1">
        <v>339629.346218488</v>
      </c>
      <c r="C7" s="1">
        <v>157043.584898545</v>
      </c>
      <c r="D7" s="1">
        <v>1038901</v>
      </c>
    </row>
    <row r="8" spans="1:4">
      <c r="A8">
        <v>6</v>
      </c>
      <c r="B8" s="1">
        <v>213799.346218488</v>
      </c>
      <c r="C8" s="1">
        <v>189473.430861823</v>
      </c>
      <c r="D8" s="1">
        <v>505230</v>
      </c>
    </row>
    <row r="9" spans="1:4">
      <c r="A9">
        <v>7</v>
      </c>
      <c r="B9" s="1">
        <v>279828.346218488</v>
      </c>
      <c r="C9" s="1">
        <v>250155.570802382</v>
      </c>
      <c r="D9" s="1">
        <v>535445</v>
      </c>
    </row>
    <row r="10" spans="1:4">
      <c r="A10">
        <v>8</v>
      </c>
      <c r="B10" s="1">
        <v>401863.346218488</v>
      </c>
      <c r="C10" s="1">
        <v>287581.909792275</v>
      </c>
      <c r="D10" s="1">
        <v>496268</v>
      </c>
    </row>
    <row r="11" spans="1:4">
      <c r="A11">
        <v>9</v>
      </c>
      <c r="B11" s="1">
        <v>448134.346218488</v>
      </c>
      <c r="C11" s="1">
        <v>569745.064291464</v>
      </c>
      <c r="D11" s="1">
        <v>190363</v>
      </c>
    </row>
    <row r="12" spans="1:4">
      <c r="A12">
        <v>10</v>
      </c>
      <c r="B12" s="1">
        <v>601511.346218488</v>
      </c>
      <c r="C12" s="1">
        <v>633824.986556933</v>
      </c>
      <c r="D12" s="1">
        <v>188715</v>
      </c>
    </row>
    <row r="13" spans="1:4">
      <c r="A13">
        <v>11</v>
      </c>
      <c r="B13" s="1">
        <v>446696.346218488</v>
      </c>
      <c r="C13" s="1">
        <v>433415.506922117</v>
      </c>
      <c r="D13" s="1">
        <v>187478</v>
      </c>
    </row>
    <row r="14" spans="1:4">
      <c r="A14">
        <v>12</v>
      </c>
      <c r="B14" s="1">
        <v>487187.346218488</v>
      </c>
      <c r="C14" s="1">
        <v>379583.138771276</v>
      </c>
      <c r="D14" s="1">
        <v>297289</v>
      </c>
    </row>
    <row r="15" spans="1:4">
      <c r="A15">
        <v>13</v>
      </c>
      <c r="B15" s="1">
        <v>354169.346218488</v>
      </c>
      <c r="C15" s="1">
        <v>264247.901317912</v>
      </c>
      <c r="D15" s="1">
        <v>220478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forecast_results2024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miner</cp:lastModifiedBy>
  <dcterms:created xsi:type="dcterms:W3CDTF">2025-11-06T05:25:41Z</dcterms:created>
  <dcterms:modified xsi:type="dcterms:W3CDTF">2025-11-06T05:28:28Z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AFD4F9B5C58B4F2BBE3621DE60591ECF_13</vt:lpwstr>
  </property>
  <property fmtid="{D5CDD505-2E9C-101B-9397-08002B2CF9AE}" pid="3" name="KSOProductBuildVer">
    <vt:lpwstr>2052-12.1.0.23125</vt:lpwstr>
  </property>
</Properties>
</file>