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orecast_results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<sst xmlns="http://schemas.openxmlformats.org/spreadsheetml/2006/main" count="4" uniqueCount="4">
  <si>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Period</t>
  </si>
  <si>
    <t>SARIMA_Forecast</t>
  </si>
  <si>
    <t>Prophet_Forecast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</si>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</sst>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forecast_results2023!$A$2</c:f>
              <c:strCache>
                <c:ptCount val="1"/>
                <c:pt idx="0">
                  <c:v>Period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forecast_results2023!$A$3:$A$15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forecast_results2023!$B$2</c:f>
              <c:strCache>
                <c:ptCount val="1"/>
                <c:pt idx="0">
                  <c:v>SARIMA_Forecast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forecast_results2023!$B$3:$B$15</c:f>
              <c:numCache>
                <c:formatCode>_ * #,##0_ ;_ * \-#,##0_ ;_ * "-"??_ ;_ @_ </c:formatCode>
                <c:ptCount val="13"/>
                <c:pt idx="0">
                  <c:v>455565.381296572</c:v>
                </c:pt>
                <c:pt idx="1">
                  <c:v>469617.714629906</c:v>
                </c:pt>
                <c:pt idx="2">
                  <c:v>320735.381296572</c:v>
                </c:pt>
                <c:pt idx="3">
                  <c:v>297416.381296572</c:v>
                </c:pt>
                <c:pt idx="4">
                  <c:v>230137.714629906</c:v>
                </c:pt>
                <c:pt idx="5">
                  <c:v>301776.047963239</c:v>
                </c:pt>
                <c:pt idx="6">
                  <c:v>275213.047963239</c:v>
                </c:pt>
                <c:pt idx="7">
                  <c:v>302463.381296572</c:v>
                </c:pt>
                <c:pt idx="8">
                  <c:v>551638.047963239</c:v>
                </c:pt>
                <c:pt idx="9">
                  <c:v>578568.714629906</c:v>
                </c:pt>
                <c:pt idx="10">
                  <c:v>423609.047963239</c:v>
                </c:pt>
                <c:pt idx="11">
                  <c:v>595199.381296572</c:v>
                </c:pt>
                <c:pt idx="12">
                  <c:v>294425.047963239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forecast_results2023!$C$2</c:f>
              <c:strCache>
                <c:ptCount val="1"/>
                <c:pt idx="0">
                  <c:v>Prophet_Forecast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forecast_results2023!$C$3:$C$15</c:f>
              <c:numCache>
                <c:formatCode>_ * #,##0_ ;_ * \-#,##0_ ;_ * "-"??_ ;_ @_ </c:formatCode>
                <c:ptCount val="13"/>
                <c:pt idx="0">
                  <c:v>428198.103835751</c:v>
                </c:pt>
                <c:pt idx="1">
                  <c:v>439206.588998416</c:v>
                </c:pt>
                <c:pt idx="2">
                  <c:v>312441.172874563</c:v>
                </c:pt>
                <c:pt idx="3">
                  <c:v>292116.225825839</c:v>
                </c:pt>
                <c:pt idx="4">
                  <c:v>234872.000300888</c:v>
                </c:pt>
                <c:pt idx="5">
                  <c:v>294550.027427381</c:v>
                </c:pt>
                <c:pt idx="6">
                  <c:v>271663.685431247</c:v>
                </c:pt>
                <c:pt idx="7">
                  <c:v>293881.346039773</c:v>
                </c:pt>
                <c:pt idx="8">
                  <c:v>501227.75655787</c:v>
                </c:pt>
                <c:pt idx="9">
                  <c:v>522592.411184865</c:v>
                </c:pt>
                <c:pt idx="10">
                  <c:v>392694.901897199</c:v>
                </c:pt>
                <c:pt idx="11">
                  <c:v>534159.311016351</c:v>
                </c:pt>
                <c:pt idx="12">
                  <c:v>284114.277082924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forecast_results2023!$D$2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forecast_results2023!$D$3:$D$15</c:f>
              <c:numCache>
                <c:formatCode>_ * #,##0_ ;_ * \-#,##0_ ;_ * "-"??_ ;_ @_ </c:formatCode>
                <c:ptCount val="13"/>
                <c:pt idx="0">
                  <c:v>236475</c:v>
                </c:pt>
                <c:pt idx="1">
                  <c:v>283397</c:v>
                </c:pt>
                <c:pt idx="2">
                  <c:v>717219</c:v>
                </c:pt>
                <c:pt idx="3">
                  <c:v>640494</c:v>
                </c:pt>
                <c:pt idx="4">
                  <c:v>1038901</c:v>
                </c:pt>
                <c:pt idx="5">
                  <c:v>505230</c:v>
                </c:pt>
                <c:pt idx="6">
                  <c:v>535445</c:v>
                </c:pt>
                <c:pt idx="7">
                  <c:v>496268</c:v>
                </c:pt>
                <c:pt idx="8">
                  <c:v>190363</c:v>
                </c:pt>
                <c:pt idx="9">
                  <c:v>188715</c:v>
                </c:pt>
                <c:pt idx="10">
                  <c:v>187478</c:v>
                </c:pt>
                <c:pt idx="11">
                  <c:v>297289</c:v>
                </c:pt>
                <c:pt idx="12">
                  <c:v>220478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5888012"/>
        <c:axId val="562014108"/>
      </c:lineChart>
      <c:catAx>
        <c:axId val="7658880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014108"/>
        <c:crosses val="autoZero"/>
        <c:auto val="1"/>
        <c:lblAlgn val="ctr"/>
        <c:lblOffset val="100"/>
        <c:noMultiLvlLbl val="0"/>
      </c:catAx>
      <c:valAx>
        <c:axId val="562014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8880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12700</xdr:colOff>
      <xdr:row>1</xdr:row>
      <xdr:rowOff>38100</xdr:rowOff>
    </xdr:from>
    <xdr:to>
      <xdr:col>17</xdr:col>
      <xdr:colOff>323215</xdr:colOff>
      <xdr:row>22</xdr:row>
      <xdr:rowOff>158750</xdr:rowOff>
    </xdr:to>
    <xdr:graphicFrame>
      <xdr:nvGraphicFramePr>
        <xdr:cNvPr id="2" name="图表 1"/>
        <xdr:cNvGraphicFramePr/>
      </xdr:nvGraphicFramePr>
      <xdr:xfrm>
        <a:off x="7486650" y="215900"/>
        <a:ext cx="6482715" cy="3854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SheetLayoutView="60" workbookViewId="0">
      <selection activeCell="F27" sqref="F27"/>
    </sheetView>
  </sheetViews>
  <sheetFormatPr defaultColWidth="9.81818181818182" defaultRowHeight="14" outlineLevelCol="3"/>
  <cols>
    <col min="2" max="3" width="20.8181818181818" customWidth="1"/>
    <col min="4" max="4" width="16.2727272727273"/>
  </cols>
  <sheetData>
    <row r="1" spans="2:4">
      <c r="B1" s="1">
        <f>SUM(B3:B30)</f>
        <v>5096365.29018877</v>
      </c>
      <c r="C1" s="1">
        <f>SUM(C3:C30)</f>
        <v>4801717.80847307</v>
      </c>
      <c r="D1" s="1">
        <f>SUM(D3:D30)</f>
        <v>5537752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</v>
      </c>
      <c r="B3" s="1">
        <v>455565.381296572</v>
      </c>
      <c r="C3" s="1">
        <v>428198.103835751</v>
      </c>
      <c r="D3" s="1">
        <v>236475</v>
      </c>
    </row>
    <row r="4" spans="1:4">
      <c r="A4">
        <v>2</v>
      </c>
      <c r="B4" s="1">
        <v>469617.714629906</v>
      </c>
      <c r="C4" s="1">
        <v>439206.588998416</v>
      </c>
      <c r="D4" s="1">
        <v>283397</v>
      </c>
    </row>
    <row r="5" spans="1:4">
      <c r="A5">
        <v>3</v>
      </c>
      <c r="B5" s="1">
        <v>320735.381296572</v>
      </c>
      <c r="C5" s="1">
        <v>312441.172874563</v>
      </c>
      <c r="D5" s="1">
        <v>717219</v>
      </c>
    </row>
    <row r="6" spans="1:4">
      <c r="A6">
        <v>4</v>
      </c>
      <c r="B6" s="1">
        <v>297416.381296572</v>
      </c>
      <c r="C6" s="1">
        <v>292116.225825839</v>
      </c>
      <c r="D6" s="1">
        <v>640494</v>
      </c>
    </row>
    <row r="7" spans="1:4">
      <c r="A7">
        <v>5</v>
      </c>
      <c r="B7" s="1">
        <v>230137.714629906</v>
      </c>
      <c r="C7" s="1">
        <v>234872.000300888</v>
      </c>
      <c r="D7" s="1">
        <v>1038901</v>
      </c>
    </row>
    <row r="8" spans="1:4">
      <c r="A8">
        <v>6</v>
      </c>
      <c r="B8" s="1">
        <v>301776.047963239</v>
      </c>
      <c r="C8" s="1">
        <v>294550.027427381</v>
      </c>
      <c r="D8" s="1">
        <v>505230</v>
      </c>
    </row>
    <row r="9" spans="1:4">
      <c r="A9">
        <v>7</v>
      </c>
      <c r="B9" s="1">
        <v>275213.047963239</v>
      </c>
      <c r="C9" s="1">
        <v>271663.685431247</v>
      </c>
      <c r="D9" s="1">
        <v>535445</v>
      </c>
    </row>
    <row r="10" spans="1:4">
      <c r="A10">
        <v>8</v>
      </c>
      <c r="B10" s="1">
        <v>302463.381296572</v>
      </c>
      <c r="C10" s="1">
        <v>293881.346039773</v>
      </c>
      <c r="D10" s="1">
        <v>496268</v>
      </c>
    </row>
    <row r="11" spans="1:4">
      <c r="A11">
        <v>9</v>
      </c>
      <c r="B11" s="1">
        <v>551638.047963239</v>
      </c>
      <c r="C11" s="1">
        <v>501227.75655787</v>
      </c>
      <c r="D11" s="1">
        <v>190363</v>
      </c>
    </row>
    <row r="12" spans="1:4">
      <c r="A12">
        <v>10</v>
      </c>
      <c r="B12" s="1">
        <v>578568.714629906</v>
      </c>
      <c r="C12" s="1">
        <v>522592.411184865</v>
      </c>
      <c r="D12" s="1">
        <v>188715</v>
      </c>
    </row>
    <row r="13" spans="1:4">
      <c r="A13">
        <v>11</v>
      </c>
      <c r="B13" s="1">
        <v>423609.047963239</v>
      </c>
      <c r="C13" s="1">
        <v>392694.901897199</v>
      </c>
      <c r="D13" s="1">
        <v>187478</v>
      </c>
    </row>
    <row r="14" spans="1:4">
      <c r="A14">
        <v>12</v>
      </c>
      <c r="B14" s="1">
        <v>595199.381296572</v>
      </c>
      <c r="C14" s="1">
        <v>534159.311016351</v>
      </c>
      <c r="D14" s="1">
        <v>297289</v>
      </c>
    </row>
    <row r="15" spans="1:4">
      <c r="A15">
        <v>13</v>
      </c>
      <c r="B15" s="1">
        <v>294425.047963239</v>
      </c>
      <c r="C15" s="1">
        <v>284114.277082924</v>
      </c>
      <c r="D15" s="1">
        <v>220478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forecast_results2023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miner</cp:lastModifiedBy>
  <dcterms:created xsi:type="dcterms:W3CDTF">2025-11-06T05:18:08Z</dcterms:created>
  <dcterms:modified xsi:type="dcterms:W3CDTF">2025-11-06T05:23:28Z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ADCEEFB5F1524C83B05418C601F66129_13</vt:lpwstr>
  </property>
  <property fmtid="{D5CDD505-2E9C-101B-9397-08002B2CF9AE}" pid="3" name="KSOProductBuildVer">
    <vt:lpwstr>2052-12.1.0.23125</vt:lpwstr>
  </property>
</Properties>
</file>